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f30cb79285104/Desktop/"/>
    </mc:Choice>
  </mc:AlternateContent>
  <xr:revisionPtr revIDLastSave="226" documentId="8_{EF6B485B-924A-4D45-AD73-C2F9D7BAED91}" xr6:coauthVersionLast="47" xr6:coauthVersionMax="47" xr10:uidLastSave="{2CB3AA7B-7B42-4DA3-A67D-14CBA895FD03}"/>
  <bookViews>
    <workbookView xWindow="3394" yWindow="540" windowWidth="17597" windowHeight="14169" xr2:uid="{51DB134E-275F-40BB-81ED-5E971EE08AEC}"/>
  </bookViews>
  <sheets>
    <sheet name="통합" sheetId="3" r:id="rId1"/>
  </sheets>
  <definedNames>
    <definedName name="ExternalData_1" localSheetId="0" hidden="1">통합!$A$1:$J$26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2" i="3"/>
  <c r="J19" i="3"/>
  <c r="J21" i="3"/>
  <c r="J26" i="3"/>
  <c r="J20" i="3"/>
  <c r="J17" i="3"/>
  <c r="J18" i="3"/>
  <c r="J15" i="3"/>
  <c r="J16" i="3"/>
  <c r="J13" i="3"/>
  <c r="J14" i="3"/>
  <c r="J12" i="3"/>
  <c r="J11" i="3"/>
  <c r="J9" i="3"/>
  <c r="J10" i="3"/>
  <c r="J7" i="3"/>
  <c r="J5" i="3"/>
  <c r="J4" i="3"/>
  <c r="J3" i="3"/>
  <c r="J6" i="3"/>
  <c r="J2" i="3"/>
  <c r="J8" i="3"/>
  <c r="J24" i="3"/>
  <c r="J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1AC51-FF14-4249-A253-114C7C81F84E}" keepAlive="1" name="쿼리 - df3수정" description="통합 문서의 'df3수정' 쿼리에 대한 연결입니다." type="5" refreshedVersion="8" background="1" saveData="1">
    <dbPr connection="Provider=Microsoft.Mashup.OleDb.1;Data Source=$Workbook$;Location=df3수정;Extended Properties=&quot;&quot;" command="SELECT * FROM [df3수정]"/>
  </connection>
  <connection id="2" xr16:uid="{5C97084D-1316-4B33-848C-B4F81B54D4D7}" keepAlive="1" name="쿼리 - df3수정 (2)" description="통합 문서의 'df3수정 (2)' 쿼리에 대한 연결입니다." type="5" refreshedVersion="8" background="1" saveData="1">
    <dbPr connection="Provider=Microsoft.Mashup.OleDb.1;Data Source=$Workbook$;Location=&quot;df3수정 (2)&quot;;Extended Properties=&quot;&quot;" command="SELECT * FROM [df3수정 (2)]"/>
  </connection>
  <connection id="3" xr16:uid="{2823D5A6-C467-4EBB-BEB3-A6CCA85817A9}" keepAlive="1" name="쿼리 - df3수정 (3)" description="통합 문서의 'df3수정 (3)' 쿼리에 대한 연결입니다." type="5" refreshedVersion="0" background="1">
    <dbPr connection="Provider=Microsoft.Mashup.OleDb.1;Data Source=$Workbook$;Location=&quot;df3수정 (3)&quot;;Extended Properties=&quot;&quot;" command="SELECT * FROM [df3수정 (3)]"/>
  </connection>
</connections>
</file>

<file path=xl/sharedStrings.xml><?xml version="1.0" encoding="utf-8"?>
<sst xmlns="http://schemas.openxmlformats.org/spreadsheetml/2006/main" count="35" uniqueCount="35">
  <si>
    <t>동별</t>
  </si>
  <si>
    <t>총인구</t>
  </si>
  <si>
    <t>밀도</t>
  </si>
  <si>
    <t>편의점수</t>
  </si>
  <si>
    <t>면적대비_밀집도</t>
  </si>
  <si>
    <t>편의점당소비자수</t>
  </si>
  <si>
    <t>1인가구수</t>
  </si>
  <si>
    <t>지역구월별맥주판매량_스케일링</t>
  </si>
  <si>
    <t>점수합</t>
  </si>
  <si>
    <t>양천구</t>
  </si>
  <si>
    <t>관악구</t>
  </si>
  <si>
    <t>노원구</t>
  </si>
  <si>
    <t>은평구</t>
  </si>
  <si>
    <t>동작구</t>
  </si>
  <si>
    <t>성북구</t>
  </si>
  <si>
    <t>송파구</t>
  </si>
  <si>
    <t>강서구</t>
  </si>
  <si>
    <t>중랑구</t>
  </si>
  <si>
    <t>강동구</t>
  </si>
  <si>
    <t>도봉구</t>
  </si>
  <si>
    <t>구로구</t>
  </si>
  <si>
    <t>광진구</t>
  </si>
  <si>
    <t>동대문구</t>
  </si>
  <si>
    <t>서대문구</t>
  </si>
  <si>
    <t>금천구</t>
  </si>
  <si>
    <t>용산구</t>
  </si>
  <si>
    <t>영등포구</t>
  </si>
  <si>
    <t>강북구</t>
  </si>
  <si>
    <t>마포구</t>
  </si>
  <si>
    <t>성동구</t>
  </si>
  <si>
    <t>서초구</t>
  </si>
  <si>
    <t>강남구</t>
  </si>
  <si>
    <t>종로구</t>
  </si>
  <si>
    <t>유동/유출인구</t>
    <phoneticPr fontId="18" type="noConversion"/>
  </si>
  <si>
    <t>중구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</si>
</sst>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</cellStyleXfs>
  <cellXfs count="16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0" xfId="42" applyFont="1" applyBorder="1" applyAlignment="1">
      <alignment horizontal="center"/>
    </xf>
    <xf numFmtId="0" fontId="19" fillId="33" borderId="14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0" xfId="42" applyFont="1" applyFill="1" applyBorder="1" applyAlignment="1">
      <alignment horizont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19" fillId="33" borderId="17" xfId="42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F8AD012A-1B06-4BB0-8FEC-A9A390CFCAD0}"/>
  </cellStyles>
  <dxfs count="15"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  <charset val="129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family val="3"/>
        <charset val="129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E8E39F-BBC0-484E-B927-9F7BCB31AC6A}" autoFormatId="16" applyNumberFormats="0" applyBorderFormats="0" applyFontFormats="0" applyPatternFormats="0" applyAlignmentFormats="0" applyWidthHeightFormats="0">
  <queryTableRefresh nextId="11">
    <queryTableFields count="10">
      <queryTableField id="1" name="동별" tableColumnId="1"/>
      <queryTableField id="2" name="총인구" tableColumnId="2"/>
      <queryTableField id="3" name="밀도" tableColumnId="3"/>
      <queryTableField id="4" name="편의점수" tableColumnId="4"/>
      <queryTableField id="5" name="면적대비_밀집도" tableColumnId="5"/>
      <queryTableField id="6" name="편의점당소비자수" tableColumnId="6"/>
      <queryTableField id="7" name="1인가구수" tableColumnId="7"/>
      <queryTableField id="8" name="지역구월별맥주판매량_스케일링" tableColumnId="8"/>
      <queryTableField id="10" dataBound="0" tableColumnId="10"/>
      <queryTableField id="9" name="점수합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96EC6-DC50-47DC-94ED-0064996144D2}" name="df3수정3" displayName="df3수정3" ref="A1:J26" tableType="queryTable" totalsRowShown="0" headerRowDxfId="14" dataDxfId="12" headerRowBorderDxfId="13" tableBorderDxfId="11" totalsRowBorderDxfId="10">
  <autoFilter ref="A1:J26" xr:uid="{D9E96EC6-DC50-47DC-94ED-0064996144D2}"/>
  <sortState xmlns:xlrd2="http://schemas.microsoft.com/office/spreadsheetml/2017/richdata2" ref="A2:J26">
    <sortCondition ref="J1:J26"/>
  </sortState>
  <tableColumns count="10">
    <tableColumn id="1" xr3:uid="{2B6FB28A-FF66-4C51-B13C-CD62DF03D71D}" uniqueName="1" name="동별" queryTableFieldId="1" dataDxfId="9"/>
    <tableColumn id="2" xr3:uid="{CDE3EE84-1BE0-439A-9A0A-0590364BF32C}" uniqueName="2" name="총인구" queryTableFieldId="2" dataDxfId="8"/>
    <tableColumn id="3" xr3:uid="{58F31562-69DD-4F78-9D71-1DD153286F9F}" uniqueName="3" name="밀도" queryTableFieldId="3" dataDxfId="7"/>
    <tableColumn id="4" xr3:uid="{BCFC790F-BC3A-42E9-AC01-B3602E78EDDD}" uniqueName="4" name="편의점수" queryTableFieldId="4" dataDxfId="6"/>
    <tableColumn id="5" xr3:uid="{718DBFB1-CB8A-4A3A-BC55-888C9686C4D6}" uniqueName="5" name="면적대비_밀집도" queryTableFieldId="5" dataDxfId="5"/>
    <tableColumn id="6" xr3:uid="{7AB46A04-0EF0-4301-AE86-62A09965110E}" uniqueName="6" name="편의점당소비자수" queryTableFieldId="6" dataDxfId="4"/>
    <tableColumn id="7" xr3:uid="{4C7AF0DB-6EA2-4815-AB5E-779F882FEFB6}" uniqueName="7" name="1인가구수" queryTableFieldId="7" dataDxfId="3"/>
    <tableColumn id="8" xr3:uid="{2FC488E3-62D2-4959-B974-FA1B1B134920}" uniqueName="8" name="지역구월별맥주판매량_스케일링" queryTableFieldId="8" dataDxfId="2"/>
    <tableColumn id="10" xr3:uid="{06B943CB-FAB3-4D22-AE52-25A10B03ED66}" uniqueName="10" name="유동/유출인구" queryTableFieldId="10" dataDxfId="1"/>
    <tableColumn id="9" xr3:uid="{A6B29DB1-416E-4FB2-AAF9-598552106C56}" uniqueName="9" name="점수합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390-289F-4F7A-BF14-D5A4D8C51842}">
  <dimension ref="A1:J26"/>
  <sheetViews>
    <sheetView showGridLines="0" tabSelected="1" zoomScale="70" zoomScaleNormal="70" workbookViewId="0">
      <selection activeCell="L36" sqref="L36"/>
    </sheetView>
  </sheetViews>
  <sheetFormatPr defaultRowHeight="17.600000000000001" x14ac:dyDescent="0.55000000000000004"/>
  <cols>
    <col min="1" max="1" width="11" bestFit="1" customWidth="1"/>
    <col min="2" max="3" width="13.140625" bestFit="1" customWidth="1"/>
    <col min="4" max="4" width="14.640625" bestFit="1" customWidth="1"/>
    <col min="5" max="5" width="21.42578125" bestFit="1" customWidth="1"/>
    <col min="6" max="6" width="22.5" bestFit="1" customWidth="1"/>
    <col min="7" max="7" width="15.7109375" bestFit="1" customWidth="1"/>
    <col min="8" max="8" width="35.35546875" bestFit="1" customWidth="1"/>
    <col min="9" max="9" width="19.42578125" bestFit="1" customWidth="1"/>
    <col min="10" max="10" width="13.140625" bestFit="1" customWidth="1"/>
  </cols>
  <sheetData>
    <row r="1" spans="1:10" x14ac:dyDescent="0.55000000000000004">
      <c r="A1" s="1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33</v>
      </c>
      <c r="J1" s="15" t="s">
        <v>8</v>
      </c>
    </row>
    <row r="2" spans="1:10" x14ac:dyDescent="0.55000000000000004">
      <c r="A2" s="13" t="s">
        <v>32</v>
      </c>
      <c r="B2" s="1">
        <v>3.5325387329809603E-2</v>
      </c>
      <c r="C2" s="1">
        <v>0</v>
      </c>
      <c r="D2" s="1">
        <v>-6.07476635514018E-2</v>
      </c>
      <c r="E2" s="1">
        <v>-6.0408706438215602E-2</v>
      </c>
      <c r="F2" s="1">
        <v>0.14152966404574691</v>
      </c>
      <c r="G2" s="1">
        <v>8.5012903015057994E-3</v>
      </c>
      <c r="H2" s="1">
        <v>0.28208704212642027</v>
      </c>
      <c r="I2" s="3">
        <v>0.43491264362086579</v>
      </c>
      <c r="J2" s="2">
        <f>SUM(df3수정3[[#This Row],[총인구]:[유동/유출인구]])</f>
        <v>0.78119965743473097</v>
      </c>
    </row>
    <row r="3" spans="1:10" x14ac:dyDescent="0.55000000000000004">
      <c r="A3" s="13" t="s">
        <v>30</v>
      </c>
      <c r="B3" s="1">
        <v>0.53060965636311319</v>
      </c>
      <c r="C3" s="1">
        <v>0.13047363717605001</v>
      </c>
      <c r="D3" s="1">
        <v>-0.47429906542056077</v>
      </c>
      <c r="E3" s="1">
        <v>-4.5480184905468103E-2</v>
      </c>
      <c r="F3" s="1">
        <v>0.38170121515368122</v>
      </c>
      <c r="G3" s="1">
        <v>0.16711037794401071</v>
      </c>
      <c r="H3" s="1">
        <v>7.3697307792225594E-2</v>
      </c>
      <c r="I3" s="3">
        <v>0.69077087954539795</v>
      </c>
      <c r="J3" s="2">
        <f>SUM(df3수정3[[#This Row],[총인구]:[유동/유출인구]])</f>
        <v>1.4545838236484498</v>
      </c>
    </row>
    <row r="4" spans="1:10" x14ac:dyDescent="0.55000000000000004">
      <c r="A4" s="13" t="s">
        <v>29</v>
      </c>
      <c r="B4" s="1">
        <v>0.28959434490905511</v>
      </c>
      <c r="C4" s="1">
        <v>0.55921778899227248</v>
      </c>
      <c r="D4" s="1">
        <v>-0.14953271028037379</v>
      </c>
      <c r="E4" s="1">
        <v>-0.416706686451843</v>
      </c>
      <c r="F4" s="1">
        <v>0.46390278770550392</v>
      </c>
      <c r="G4" s="1">
        <v>0.16184300787247249</v>
      </c>
      <c r="H4" s="1">
        <v>0.1846671315476433</v>
      </c>
      <c r="I4" s="3">
        <v>0.41488423098970673</v>
      </c>
      <c r="J4" s="2">
        <f>SUM(df3수정3[[#This Row],[총인구]:[유동/유출인구]])</f>
        <v>1.5078698952844374</v>
      </c>
    </row>
    <row r="5" spans="1:10" x14ac:dyDescent="0.55000000000000004">
      <c r="A5" s="13" t="s">
        <v>28</v>
      </c>
      <c r="B5" s="1">
        <v>0.46072369716336758</v>
      </c>
      <c r="C5" s="1">
        <v>0.49597855227882037</v>
      </c>
      <c r="D5" s="1">
        <v>-0.50233644859813076</v>
      </c>
      <c r="E5" s="1">
        <v>-0.56018794623613255</v>
      </c>
      <c r="F5" s="1">
        <v>0.28806290207290919</v>
      </c>
      <c r="G5" s="1">
        <v>0.35784633979028518</v>
      </c>
      <c r="H5" s="1">
        <v>0.57496205750851193</v>
      </c>
      <c r="I5" s="3">
        <v>0.50112404356603446</v>
      </c>
      <c r="J5" s="2">
        <f>SUM(df3수정3[[#This Row],[총인구]:[유동/유출인구]])</f>
        <v>1.6161731975456655</v>
      </c>
    </row>
    <row r="6" spans="1:10" x14ac:dyDescent="0.55000000000000004">
      <c r="A6" s="13" t="s">
        <v>31</v>
      </c>
      <c r="B6" s="1">
        <v>0.79224469551257781</v>
      </c>
      <c r="C6" s="1">
        <v>0.40161909267728541</v>
      </c>
      <c r="D6" s="1">
        <v>-1</v>
      </c>
      <c r="E6" s="1">
        <v>-0.4981197535036046</v>
      </c>
      <c r="F6" s="1">
        <v>0.2487491065046461</v>
      </c>
      <c r="G6" s="1">
        <v>0.3962042269624016</v>
      </c>
      <c r="H6" s="1">
        <v>0.3284794290167769</v>
      </c>
      <c r="I6" s="3">
        <v>1</v>
      </c>
      <c r="J6" s="2">
        <f>SUM(df3수정3[[#This Row],[총인구]:[유동/유출인구]])</f>
        <v>1.6691767971700833</v>
      </c>
    </row>
    <row r="7" spans="1:10" x14ac:dyDescent="0.55000000000000004">
      <c r="A7" s="13" t="s">
        <v>27</v>
      </c>
      <c r="B7" s="1">
        <v>0.30513865119871569</v>
      </c>
      <c r="C7" s="1">
        <v>0.3218209535825054</v>
      </c>
      <c r="D7" s="1">
        <v>-0.15186915887850469</v>
      </c>
      <c r="E7" s="1">
        <v>-0.1710999460541282</v>
      </c>
      <c r="F7" s="1">
        <v>0.48534667619728372</v>
      </c>
      <c r="G7" s="1">
        <v>0.19898409172573739</v>
      </c>
      <c r="H7" s="1">
        <v>0.449102369525685</v>
      </c>
      <c r="I7" s="3">
        <v>0.29974827405727389</v>
      </c>
      <c r="J7" s="2">
        <f>SUM(df3수정3[[#This Row],[총인구]:[유동/유출인구]])</f>
        <v>1.7371719113545683</v>
      </c>
    </row>
    <row r="8" spans="1:10" x14ac:dyDescent="0.55000000000000004">
      <c r="A8" s="13" t="s">
        <v>34</v>
      </c>
      <c r="B8" s="1">
        <v>0</v>
      </c>
      <c r="C8" s="1">
        <v>0.36482199999999998</v>
      </c>
      <c r="D8" s="1">
        <v>0.14252300000000001</v>
      </c>
      <c r="E8" s="1">
        <v>1</v>
      </c>
      <c r="F8" s="1">
        <v>0</v>
      </c>
      <c r="G8" s="1">
        <v>0</v>
      </c>
      <c r="H8" s="1">
        <v>0</v>
      </c>
      <c r="I8" s="3">
        <v>0.47170450863594449</v>
      </c>
      <c r="J8" s="2">
        <f>SUM(df3수정3[[#This Row],[총인구]:[유동/유출인구]])</f>
        <v>1.9790495086359443</v>
      </c>
    </row>
    <row r="9" spans="1:10" x14ac:dyDescent="0.55000000000000004">
      <c r="A9" s="13" t="s">
        <v>25</v>
      </c>
      <c r="B9" s="1">
        <v>0.180437762195399</v>
      </c>
      <c r="C9" s="1">
        <v>0.21521316301319449</v>
      </c>
      <c r="D9" s="1">
        <v>-5.6074766355140103E-2</v>
      </c>
      <c r="E9" s="1">
        <v>-0.1025101213466432</v>
      </c>
      <c r="F9" s="1">
        <v>0.43102215868477478</v>
      </c>
      <c r="G9" s="1">
        <v>0.115873975108614</v>
      </c>
      <c r="H9" s="1">
        <v>1</v>
      </c>
      <c r="I9" s="3">
        <v>0.32155122996784891</v>
      </c>
      <c r="J9" s="2">
        <f>SUM(df3수정3[[#This Row],[총인구]:[유동/유출인구]])</f>
        <v>2.1055134012680479</v>
      </c>
    </row>
    <row r="10" spans="1:10" x14ac:dyDescent="0.55000000000000004">
      <c r="A10" s="13" t="s">
        <v>26</v>
      </c>
      <c r="B10" s="1">
        <v>0.50357986642232955</v>
      </c>
      <c r="C10" s="1">
        <v>0.5210008936550492</v>
      </c>
      <c r="D10" s="1">
        <v>-0.38785046728971961</v>
      </c>
      <c r="E10" s="1">
        <v>-0.40575687244768738</v>
      </c>
      <c r="F10" s="1">
        <v>0.43888491779842748</v>
      </c>
      <c r="G10" s="1">
        <v>0.40507300819913111</v>
      </c>
      <c r="H10" s="1">
        <v>0.50918139929174</v>
      </c>
      <c r="I10" s="3">
        <v>0.6420606634598609</v>
      </c>
      <c r="J10" s="2">
        <f>SUM(df3수정3[[#This Row],[총인구]:[유동/유출인구]])</f>
        <v>2.2261734090891312</v>
      </c>
    </row>
    <row r="11" spans="1:10" x14ac:dyDescent="0.55000000000000004">
      <c r="A11" s="13" t="s">
        <v>24</v>
      </c>
      <c r="B11" s="1">
        <v>0.20693937512305191</v>
      </c>
      <c r="C11" s="1">
        <v>0.64264311622772441</v>
      </c>
      <c r="D11" s="1">
        <v>0</v>
      </c>
      <c r="E11" s="1">
        <v>-0.36388822687980982</v>
      </c>
      <c r="F11" s="1">
        <v>0.60972122944960683</v>
      </c>
      <c r="G11" s="1">
        <v>0.19387188449351581</v>
      </c>
      <c r="H11" s="1">
        <v>0.63316789039747334</v>
      </c>
      <c r="I11" s="3">
        <v>0.32370460832938708</v>
      </c>
      <c r="J11" s="2">
        <f>SUM(df3수정3[[#This Row],[총인구]:[유동/유출인구]])</f>
        <v>2.2461598771409497</v>
      </c>
    </row>
    <row r="12" spans="1:10" x14ac:dyDescent="0.55000000000000004">
      <c r="A12" s="13" t="s">
        <v>23</v>
      </c>
      <c r="B12" s="1">
        <v>0.35748686183343681</v>
      </c>
      <c r="C12" s="1">
        <v>0.62545339851758408</v>
      </c>
      <c r="D12" s="1">
        <v>-0.1191588785046728</v>
      </c>
      <c r="E12" s="1">
        <v>-0.33235411236719292</v>
      </c>
      <c r="F12" s="1">
        <v>0.631879914224446</v>
      </c>
      <c r="G12" s="1">
        <v>0.22765655113840519</v>
      </c>
      <c r="H12" s="1">
        <v>0.54400645364179612</v>
      </c>
      <c r="I12" s="3">
        <v>0.32282232136181238</v>
      </c>
      <c r="J12" s="2">
        <f>SUM(df3수정3[[#This Row],[총인구]:[유동/유출인구]])</f>
        <v>2.2577925098456149</v>
      </c>
    </row>
    <row r="13" spans="1:10" x14ac:dyDescent="0.55000000000000004">
      <c r="A13" s="13" t="s">
        <v>21</v>
      </c>
      <c r="B13" s="1">
        <v>0.41532319132502382</v>
      </c>
      <c r="C13" s="1">
        <v>0.75119592072754049</v>
      </c>
      <c r="D13" s="1">
        <v>-0.15887850467289721</v>
      </c>
      <c r="E13" s="1">
        <v>-0.42126435712996091</v>
      </c>
      <c r="F13" s="1">
        <v>0.6490350250178698</v>
      </c>
      <c r="G13" s="1">
        <v>0.35659687061052497</v>
      </c>
      <c r="H13" s="1">
        <v>0.56416041128293459</v>
      </c>
      <c r="I13" s="3">
        <v>0.37676145851506609</v>
      </c>
      <c r="J13" s="2">
        <f>SUM(df3수정3[[#This Row],[총인구]:[유동/유출인구]])</f>
        <v>2.5329300156761017</v>
      </c>
    </row>
    <row r="14" spans="1:10" x14ac:dyDescent="0.55000000000000004">
      <c r="A14" s="13" t="s">
        <v>22</v>
      </c>
      <c r="B14" s="1">
        <v>0.43177997546532582</v>
      </c>
      <c r="C14" s="1">
        <v>1</v>
      </c>
      <c r="D14" s="1">
        <v>-0.2079439252336448</v>
      </c>
      <c r="E14" s="1">
        <v>-0.68869124021036754</v>
      </c>
      <c r="F14" s="1">
        <v>0.58684774839170828</v>
      </c>
      <c r="G14" s="1">
        <v>0.34843040538333381</v>
      </c>
      <c r="H14" s="1">
        <v>0.57657546795739512</v>
      </c>
      <c r="I14" s="3">
        <v>0.48967425167609602</v>
      </c>
      <c r="J14" s="2">
        <f>SUM(df3수정3[[#This Row],[총인구]:[유동/유출인구]])</f>
        <v>2.5366726834298463</v>
      </c>
    </row>
    <row r="15" spans="1:10" x14ac:dyDescent="0.55000000000000004">
      <c r="A15" s="13" t="s">
        <v>19</v>
      </c>
      <c r="B15" s="1">
        <v>0.3364071089975616</v>
      </c>
      <c r="C15" s="1">
        <v>0.45707827366871678</v>
      </c>
      <c r="D15" s="1">
        <v>-2.33644859813084E-2</v>
      </c>
      <c r="E15" s="1">
        <v>-9.2659690265605096E-2</v>
      </c>
      <c r="F15" s="1">
        <v>0.82630450321658322</v>
      </c>
      <c r="G15" s="1">
        <v>0.1080586678861921</v>
      </c>
      <c r="H15" s="1">
        <v>0.66423287802343545</v>
      </c>
      <c r="I15" s="3">
        <v>0.2719437728983376</v>
      </c>
      <c r="J15" s="2">
        <f>SUM(df3수정3[[#This Row],[총인구]:[유동/유출인구]])</f>
        <v>2.5480010284439132</v>
      </c>
    </row>
    <row r="16" spans="1:10" x14ac:dyDescent="0.55000000000000004">
      <c r="A16" s="13" t="s">
        <v>20</v>
      </c>
      <c r="B16" s="1">
        <v>0.53737372972481789</v>
      </c>
      <c r="C16" s="1">
        <v>0.75508594858855083</v>
      </c>
      <c r="D16" s="1">
        <v>-0.21962616822429901</v>
      </c>
      <c r="E16" s="1">
        <v>-0.36964649710887459</v>
      </c>
      <c r="F16" s="1">
        <v>0.71979985704074334</v>
      </c>
      <c r="G16" s="1">
        <v>0.26969751412798482</v>
      </c>
      <c r="H16" s="1">
        <v>0.47575098787207581</v>
      </c>
      <c r="I16" s="3">
        <v>0.51011639209431003</v>
      </c>
      <c r="J16" s="2">
        <f>SUM(df3수정3[[#This Row],[총인구]:[유동/유출인구]])</f>
        <v>2.6785517641153089</v>
      </c>
    </row>
    <row r="17" spans="1:10" x14ac:dyDescent="0.55000000000000004">
      <c r="A17" s="13" t="s">
        <v>17</v>
      </c>
      <c r="B17" s="1">
        <v>0.4840240651834799</v>
      </c>
      <c r="C17" s="1">
        <v>0.77043578825632131</v>
      </c>
      <c r="D17" s="1">
        <v>-0.17990654205607479</v>
      </c>
      <c r="E17" s="1">
        <v>-0.38384572718279097</v>
      </c>
      <c r="F17" s="1">
        <v>0.71622587562544671</v>
      </c>
      <c r="G17" s="1">
        <v>0.3153317218175285</v>
      </c>
      <c r="H17" s="1">
        <v>0.60058520311196828</v>
      </c>
      <c r="I17" s="3">
        <v>0.38740871819156097</v>
      </c>
      <c r="J17" s="2">
        <f>SUM(df3수정3[[#This Row],[총인구]:[유동/유출인구]])</f>
        <v>2.7102591029474401</v>
      </c>
    </row>
    <row r="18" spans="1:10" x14ac:dyDescent="0.55000000000000004">
      <c r="A18" s="13" t="s">
        <v>18</v>
      </c>
      <c r="B18" s="1">
        <v>0.62761248845204376</v>
      </c>
      <c r="C18" s="1">
        <v>0.65967513010566159</v>
      </c>
      <c r="D18" s="1">
        <v>-0.25467289719626163</v>
      </c>
      <c r="E18" s="1">
        <v>-0.25854693959950209</v>
      </c>
      <c r="F18" s="1">
        <v>0.78127233738384549</v>
      </c>
      <c r="G18" s="1">
        <v>0.28296802012217032</v>
      </c>
      <c r="H18" s="1">
        <v>0.46388284999384721</v>
      </c>
      <c r="I18" s="3">
        <v>0.50051092889365201</v>
      </c>
      <c r="J18" s="2">
        <f>SUM(df3수정3[[#This Row],[총인구]:[유동/유출인구]])</f>
        <v>2.8027019181554564</v>
      </c>
    </row>
    <row r="19" spans="1:10" x14ac:dyDescent="0.55000000000000004">
      <c r="A19" s="13" t="s">
        <v>13</v>
      </c>
      <c r="B19" s="1">
        <v>0.48827219857941201</v>
      </c>
      <c r="C19" s="1">
        <v>0.9217263312831836</v>
      </c>
      <c r="D19" s="1">
        <v>-0.2079439252336448</v>
      </c>
      <c r="E19" s="1">
        <v>-0.54000739647630813</v>
      </c>
      <c r="F19" s="1">
        <v>0.66976411722659046</v>
      </c>
      <c r="G19" s="1">
        <v>0.37688237023486748</v>
      </c>
      <c r="H19" s="1">
        <v>0.86904029424231277</v>
      </c>
      <c r="I19" s="3">
        <v>0.40640530369114969</v>
      </c>
      <c r="J19" s="2">
        <f>SUM(df3수정3[[#This Row],[총인구]:[유동/유출인구]])</f>
        <v>2.984139293547563</v>
      </c>
    </row>
    <row r="20" spans="1:10" x14ac:dyDescent="0.55000000000000004">
      <c r="A20" s="13" t="s">
        <v>16</v>
      </c>
      <c r="B20" s="1">
        <v>0.82735048236380992</v>
      </c>
      <c r="C20" s="1">
        <v>0.3906323923671346</v>
      </c>
      <c r="D20" s="1">
        <v>-0.4789719626168224</v>
      </c>
      <c r="E20" s="1">
        <v>-0.115105006176753</v>
      </c>
      <c r="F20" s="1">
        <v>0.67691208005718373</v>
      </c>
      <c r="G20" s="1">
        <v>0.62241531375559411</v>
      </c>
      <c r="H20" s="1">
        <v>0.56584218658134766</v>
      </c>
      <c r="I20" s="3">
        <v>0.50998180594671383</v>
      </c>
      <c r="J20" s="2">
        <f>SUM(df3수정3[[#This Row],[총인구]:[유동/유출인구]])</f>
        <v>2.9990572922782084</v>
      </c>
    </row>
    <row r="21" spans="1:10" x14ac:dyDescent="0.55000000000000004">
      <c r="A21" s="13" t="s">
        <v>14</v>
      </c>
      <c r="B21" s="1">
        <v>0.58000083296733251</v>
      </c>
      <c r="C21" s="1">
        <v>0.6064238027650739</v>
      </c>
      <c r="D21" s="1">
        <v>-0.25</v>
      </c>
      <c r="E21" s="1">
        <v>-0.25371791522969939</v>
      </c>
      <c r="F21" s="1">
        <v>0.72480343102215872</v>
      </c>
      <c r="G21" s="1">
        <v>0.33364093685689089</v>
      </c>
      <c r="H21" s="1">
        <v>0.82945704636504081</v>
      </c>
      <c r="I21" s="3">
        <v>0.44953268698751342</v>
      </c>
      <c r="J21" s="2">
        <f>SUM(df3수정3[[#This Row],[총인구]:[유동/유출인구]])</f>
        <v>3.0201408217343113</v>
      </c>
    </row>
    <row r="22" spans="1:10" x14ac:dyDescent="0.55000000000000004">
      <c r="A22" s="13" t="s">
        <v>12</v>
      </c>
      <c r="B22" s="1">
        <v>0.64190734374290082</v>
      </c>
      <c r="C22" s="1">
        <v>0.50239184145508076</v>
      </c>
      <c r="D22" s="1">
        <v>-0.2429906542056075</v>
      </c>
      <c r="E22" s="1">
        <v>-0.12540428619927149</v>
      </c>
      <c r="F22" s="1">
        <v>0.82273052180128659</v>
      </c>
      <c r="G22" s="1">
        <v>0.33120733021918791</v>
      </c>
      <c r="H22" s="1">
        <v>0.75476161176969248</v>
      </c>
      <c r="I22" s="3">
        <v>0.36982279490566511</v>
      </c>
      <c r="J22" s="2">
        <f>SUM(df3수정3[[#This Row],[총인구]:[유동/유출인구]])</f>
        <v>3.0544265034889344</v>
      </c>
    </row>
    <row r="23" spans="1:10" x14ac:dyDescent="0.55000000000000004">
      <c r="A23" s="13" t="s">
        <v>11</v>
      </c>
      <c r="B23" s="1">
        <v>0.70259280013327474</v>
      </c>
      <c r="C23" s="1">
        <v>0.41523419019082169</v>
      </c>
      <c r="D23" s="1">
        <v>-0.2009345794392523</v>
      </c>
      <c r="E23" s="1">
        <v>0</v>
      </c>
      <c r="F23" s="1">
        <v>1</v>
      </c>
      <c r="G23" s="1">
        <v>0.30201221703197989</v>
      </c>
      <c r="H23" s="1">
        <v>0.47364535050658318</v>
      </c>
      <c r="I23" s="3">
        <v>0.53849413054856321</v>
      </c>
      <c r="J23" s="2">
        <f>SUM(df3수정3[[#This Row],[총인구]:[유동/유출인구]])</f>
        <v>3.2310441089719704</v>
      </c>
    </row>
    <row r="24" spans="1:10" x14ac:dyDescent="0.55000000000000004">
      <c r="A24" s="4" t="s">
        <v>10</v>
      </c>
      <c r="B24" s="5">
        <v>0.6930477517454452</v>
      </c>
      <c r="C24" s="5">
        <v>0.55438153813804347</v>
      </c>
      <c r="D24" s="5">
        <v>-0.41822429906542058</v>
      </c>
      <c r="E24" s="5">
        <v>-0.28768907789759701</v>
      </c>
      <c r="F24" s="5">
        <v>0.61258041458184409</v>
      </c>
      <c r="G24" s="5">
        <v>1</v>
      </c>
      <c r="H24" s="5">
        <v>0.74257899558363061</v>
      </c>
      <c r="I24" s="6">
        <v>0.48332876405054459</v>
      </c>
      <c r="J24" s="7">
        <f>SUM(df3수정3[[#This Row],[총인구]:[유동/유출인구]])</f>
        <v>3.3800040871364905</v>
      </c>
    </row>
    <row r="25" spans="1:10" x14ac:dyDescent="0.55000000000000004">
      <c r="A25" s="4" t="s">
        <v>9</v>
      </c>
      <c r="B25" s="5">
        <v>0.58205296157748865</v>
      </c>
      <c r="C25" s="5">
        <v>0.99584713241865119</v>
      </c>
      <c r="D25" s="5">
        <v>-0.15654205607476629</v>
      </c>
      <c r="E25" s="5">
        <v>-0.40008330870382702</v>
      </c>
      <c r="F25" s="5">
        <v>0.92065761258041445</v>
      </c>
      <c r="G25" s="5">
        <v>0.15363571031914541</v>
      </c>
      <c r="H25" s="5">
        <v>0.8149090063852773</v>
      </c>
      <c r="I25" s="6">
        <v>0.47019415297958778</v>
      </c>
      <c r="J25" s="7">
        <f>SUM(df3수정3[[#This Row],[총인구]:[유동/유출인구]])</f>
        <v>3.3806712114819715</v>
      </c>
    </row>
    <row r="26" spans="1:10" x14ac:dyDescent="0.55000000000000004">
      <c r="A26" s="8" t="s">
        <v>15</v>
      </c>
      <c r="B26" s="9">
        <v>1</v>
      </c>
      <c r="C26" s="9">
        <v>0.69342375019712987</v>
      </c>
      <c r="D26" s="9">
        <v>-0.57943925233644855</v>
      </c>
      <c r="E26" s="9">
        <v>-0.3218522599492436</v>
      </c>
      <c r="F26" s="9">
        <v>0.72122944960686208</v>
      </c>
      <c r="G26" s="9">
        <v>0.4805719792245125</v>
      </c>
      <c r="H26" s="9">
        <v>0.52896618674542317</v>
      </c>
      <c r="I26" s="10">
        <v>0.86670986715848763</v>
      </c>
      <c r="J26" s="11">
        <f>SUM(df3수정3[[#This Row],[총인구]:[유동/유출인구]])</f>
        <v>3.3896097206467228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624439-EF97-4551-891A-E5E91D4DB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wjdal</dc:creator>
  <cp:lastModifiedBy>wjdals9171@naver.com</cp:lastModifiedBy>
  <dcterms:created xsi:type="dcterms:W3CDTF">2025-02-07T11:20:35Z</dcterms:created>
  <dcterms:modified xsi:type="dcterms:W3CDTF">2025-02-20T14:43:30Z</dcterms:modified>
</cp:coreProperties>
</file>